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2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340" yWindow="120" windowWidth="12705" windowHeight="7020"/>
  </bookViews>
  <sheets>
    <sheet name="RealmLog" sheetId="10" r:id="rId1"/>
  </sheets>
  <definedNames>
    <definedName name="Active" localSheetId="0">RealmLog!$G:$G</definedName>
    <definedName name="Active">#REF!</definedName>
    <definedName name="Data" localSheetId="0">RealmLog!$C:$C</definedName>
    <definedName name="Data">#REF!</definedName>
    <definedName name="Dungeon" localSheetId="0">RealmLog!$H:$H</definedName>
    <definedName name="Dungeon">#REF!</definedName>
    <definedName name="Duration" localSheetId="0">RealmLog!$D:$D</definedName>
    <definedName name="Duration">#REF!</definedName>
    <definedName name="Elapsed" localSheetId="0">RealmLog!$E:$E</definedName>
    <definedName name="Elapsed">#REF!</definedName>
    <definedName name="Event" localSheetId="0">RealmLog!$B:$B</definedName>
    <definedName name="Event">#REF!</definedName>
    <definedName name="PotValue" localSheetId="0">RealmLog!$F:$F</definedName>
    <definedName name="PotValue">#REF!</definedName>
    <definedName name="PotValues" localSheetId="0">RealmLog!$K$20:$L$27</definedName>
    <definedName name="PotValues">#REF!</definedName>
    <definedName name="Realm" localSheetId="0">RealmLog!$I:$I</definedName>
    <definedName name="Realm">#REF!</definedName>
    <definedName name="Time" localSheetId="0">RealmLog!$A:$A</definedName>
    <definedName name="Time">#REF!</definedName>
  </definedNames>
  <calcPr calcId="125725"/>
</workbook>
</file>

<file path=xl/calcChain.xml><?xml version="1.0" encoding="utf-8"?>
<calcChain xmlns="http://schemas.openxmlformats.org/spreadsheetml/2006/main">
  <c r="H14" i="10"/>
  <c r="G14"/>
  <c r="I14" s="1"/>
  <c r="F14"/>
  <c r="D14"/>
  <c r="H13"/>
  <c r="G13"/>
  <c r="I13" s="1"/>
  <c r="F13"/>
  <c r="D13"/>
  <c r="H12"/>
  <c r="H11" s="1"/>
  <c r="G12"/>
  <c r="F12"/>
  <c r="D12"/>
  <c r="G11"/>
  <c r="F11"/>
  <c r="D11"/>
  <c r="G10"/>
  <c r="F10"/>
  <c r="D10"/>
  <c r="H9"/>
  <c r="G9"/>
  <c r="F9"/>
  <c r="D9"/>
  <c r="H8"/>
  <c r="H7" s="1"/>
  <c r="G8"/>
  <c r="I8" s="1"/>
  <c r="F8"/>
  <c r="D8"/>
  <c r="G7"/>
  <c r="F7"/>
  <c r="D7"/>
  <c r="G6"/>
  <c r="F6"/>
  <c r="D6"/>
  <c r="H5"/>
  <c r="I5" s="1"/>
  <c r="G5"/>
  <c r="F5"/>
  <c r="D5"/>
  <c r="H4"/>
  <c r="G4"/>
  <c r="F4"/>
  <c r="D4"/>
  <c r="I4" l="1"/>
  <c r="I12"/>
  <c r="I9"/>
  <c r="E14"/>
  <c r="E13" s="1"/>
  <c r="E12" s="1"/>
  <c r="E11" s="1"/>
  <c r="I11"/>
  <c r="H10"/>
  <c r="I10" s="1"/>
  <c r="I7"/>
  <c r="H6"/>
  <c r="I6" s="1"/>
  <c r="E10" l="1"/>
  <c r="E9" s="1"/>
  <c r="E8" s="1"/>
  <c r="E7" s="1"/>
  <c r="E6" s="1"/>
  <c r="E5" s="1"/>
  <c r="E4" s="1"/>
  <c r="Q39" l="1"/>
  <c r="P39"/>
  <c r="O39"/>
  <c r="N39"/>
  <c r="M27"/>
  <c r="N27" s="1"/>
  <c r="M26"/>
  <c r="N26" s="1"/>
  <c r="M25"/>
  <c r="N25" s="1"/>
  <c r="M24"/>
  <c r="N24" s="1"/>
  <c r="M23"/>
  <c r="N23" s="1"/>
  <c r="M22"/>
  <c r="N22" s="1"/>
  <c r="M21"/>
  <c r="N21" s="1"/>
  <c r="M20"/>
  <c r="M34" l="1"/>
  <c r="N40" s="1"/>
  <c r="M28"/>
  <c r="M31" s="1"/>
  <c r="N20"/>
  <c r="N28" s="1"/>
  <c r="M30" l="1"/>
  <c r="N30"/>
  <c r="N31"/>
  <c r="M36" l="1"/>
  <c r="N36" s="1"/>
  <c r="M35"/>
  <c r="N35" s="1"/>
  <c r="N42" l="1"/>
  <c r="N41"/>
</calcChain>
</file>

<file path=xl/sharedStrings.xml><?xml version="1.0" encoding="utf-8"?>
<sst xmlns="http://schemas.openxmlformats.org/spreadsheetml/2006/main" count="56" uniqueCount="38">
  <si>
    <t>Time</t>
  </si>
  <si>
    <t>Event</t>
  </si>
  <si>
    <t>DEF</t>
  </si>
  <si>
    <t>SPD</t>
  </si>
  <si>
    <t>Active</t>
  </si>
  <si>
    <t>MANA</t>
  </si>
  <si>
    <t>LIFE</t>
  </si>
  <si>
    <t>ATT</t>
  </si>
  <si>
    <t>WIS</t>
  </si>
  <si>
    <t>VIT</t>
  </si>
  <si>
    <t>DEX</t>
  </si>
  <si>
    <t>Duration</t>
  </si>
  <si>
    <t>Realm</t>
  </si>
  <si>
    <t>Dungeon</t>
  </si>
  <si>
    <t>Pot Value</t>
  </si>
  <si>
    <t>Dungeons</t>
  </si>
  <si>
    <t>Elapsed</t>
  </si>
  <si>
    <t>Nexus</t>
  </si>
  <si>
    <t>Pit</t>
  </si>
  <si>
    <t>Start</t>
  </si>
  <si>
    <t>Pot</t>
  </si>
  <si>
    <t>Data</t>
  </si>
  <si>
    <t>Found</t>
  </si>
  <si>
    <t>Description:</t>
  </si>
  <si>
    <t>Pots</t>
  </si>
  <si>
    <t>Dungeons per hour</t>
  </si>
  <si>
    <t>Stats</t>
  </si>
  <si>
    <t>per dungeon</t>
  </si>
  <si>
    <t>Realm time per dungeon</t>
  </si>
  <si>
    <t>DEF Rate</t>
  </si>
  <si>
    <t>DEF Equiv</t>
  </si>
  <si>
    <t>per active hour</t>
  </si>
  <si>
    <t>Totals</t>
  </si>
  <si>
    <t>Sprite</t>
  </si>
  <si>
    <t>Complete time per dungeon</t>
  </si>
  <si>
    <t>UDL</t>
  </si>
  <si>
    <t>Abyss</t>
  </si>
  <si>
    <t>Sample data - enable macros then hit reset to clear!</t>
  </si>
</sst>
</file>

<file path=xl/styles.xml><?xml version="1.0" encoding="utf-8"?>
<styleSheet xmlns="http://schemas.openxmlformats.org/spreadsheetml/2006/main">
  <numFmts count="17">
    <numFmt numFmtId="164" formatCode="?/?"/>
    <numFmt numFmtId="165" formatCode="0.0000000"/>
    <numFmt numFmtId="166" formatCode="0.0"/>
    <numFmt numFmtId="167" formatCode="0.0\ &quot;DEF&quot;"/>
    <numFmt numFmtId="168" formatCode="[$-409]h:mm\ AM/PM;@"/>
    <numFmt numFmtId="169" formatCode="0\ &quot;Pots&quot;;;"/>
    <numFmt numFmtId="170" formatCode="0.0\ &quot;DEF&quot;;;"/>
    <numFmt numFmtId="171" formatCode="0\ &quot;Mins&quot;"/>
    <numFmt numFmtId="172" formatCode="0.0\ &quot;Pots/Hr&quot;;;"/>
    <numFmt numFmtId="173" formatCode="0.0\ &quot;Pots/Dun&quot;;;"/>
    <numFmt numFmtId="174" formatCode="0.0\ &quot;DEF/Dun&quot;;;"/>
    <numFmt numFmtId="175" formatCode="0.0\ &quot;DEF/Hr&quot;;;"/>
    <numFmt numFmtId="176" formatCode="0\ &quot;Dun&quot;"/>
    <numFmt numFmtId="177" formatCode="0.0\ &quot;Dun/Hr&quot;"/>
    <numFmt numFmtId="178" formatCode="0.0\ &quot;Mins&quot;;;"/>
    <numFmt numFmtId="179" formatCode="\(0%\)"/>
    <numFmt numFmtId="180" formatCode="0\ &quot;XP&quot;;;"/>
  </numFmts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1">
    <xf numFmtId="0" fontId="0" fillId="0" borderId="0" xfId="0"/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0" fillId="0" borderId="0" xfId="0" applyNumberFormat="1" applyAlignment="1">
      <alignment horizontal="center"/>
    </xf>
    <xf numFmtId="168" fontId="3" fillId="0" borderId="0" xfId="0" applyNumberFormat="1" applyFont="1" applyAlignment="1">
      <alignment horizontal="left"/>
    </xf>
    <xf numFmtId="168" fontId="0" fillId="0" borderId="0" xfId="0" applyNumberFormat="1" applyAlignment="1">
      <alignment horizontal="center"/>
    </xf>
    <xf numFmtId="168" fontId="1" fillId="2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169" fontId="0" fillId="0" borderId="0" xfId="0" applyNumberFormat="1" applyAlignment="1">
      <alignment horizontal="center"/>
    </xf>
    <xf numFmtId="169" fontId="0" fillId="0" borderId="1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171" fontId="0" fillId="0" borderId="0" xfId="0" applyNumberFormat="1" applyAlignment="1">
      <alignment horizontal="center"/>
    </xf>
    <xf numFmtId="17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73" fontId="0" fillId="0" borderId="0" xfId="0" applyNumberFormat="1" applyFill="1" applyBorder="1" applyAlignment="1">
      <alignment horizontal="center"/>
    </xf>
    <xf numFmtId="174" fontId="0" fillId="0" borderId="0" xfId="0" applyNumberFormat="1" applyFill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6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179" fontId="4" fillId="0" borderId="0" xfId="1" applyNumberFormat="1" applyFont="1" applyAlignment="1">
      <alignment horizontal="left"/>
    </xf>
    <xf numFmtId="178" fontId="1" fillId="2" borderId="0" xfId="0" applyNumberFormat="1" applyFont="1" applyFill="1" applyAlignment="1">
      <alignment horizontal="center"/>
    </xf>
    <xf numFmtId="180" fontId="0" fillId="0" borderId="0" xfId="0" applyNumberFormat="1" applyAlignment="1">
      <alignment horizontal="center" shrinkToFit="1"/>
    </xf>
    <xf numFmtId="180" fontId="1" fillId="2" borderId="0" xfId="0" applyNumberFormat="1" applyFont="1" applyFill="1" applyAlignment="1">
      <alignment horizontal="center" shrinkToFit="1"/>
    </xf>
    <xf numFmtId="169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42"/>
  <sheetViews>
    <sheetView showGridLines="0" tabSelected="1" zoomScaleNormal="100" workbookViewId="0">
      <selection activeCell="R13" sqref="R13"/>
    </sheetView>
  </sheetViews>
  <sheetFormatPr defaultRowHeight="15"/>
  <cols>
    <col min="1" max="1" width="11.7109375" style="8" bestFit="1" customWidth="1"/>
    <col min="2" max="2" width="6.7109375" style="4" bestFit="1" customWidth="1"/>
    <col min="3" max="3" width="10.42578125" style="26" customWidth="1"/>
    <col min="4" max="5" width="9.28515625" style="23" bestFit="1" customWidth="1"/>
    <col min="6" max="6" width="9.5703125" style="6" bestFit="1" customWidth="1"/>
    <col min="7" max="7" width="6.5703125" style="4" bestFit="1" customWidth="1"/>
    <col min="8" max="8" width="9" style="4" bestFit="1" customWidth="1"/>
    <col min="9" max="9" width="9" style="4" customWidth="1"/>
    <col min="10" max="10" width="3.5703125" customWidth="1"/>
    <col min="11" max="11" width="7.42578125" customWidth="1"/>
    <col min="12" max="12" width="9.42578125" customWidth="1"/>
    <col min="13" max="13" width="12.7109375" bestFit="1" customWidth="1"/>
    <col min="14" max="14" width="12.140625" bestFit="1" customWidth="1"/>
    <col min="15" max="17" width="6.7109375" customWidth="1"/>
  </cols>
  <sheetData>
    <row r="1" spans="1:9">
      <c r="A1" s="7" t="s">
        <v>23</v>
      </c>
      <c r="B1" s="10" t="s">
        <v>37</v>
      </c>
    </row>
    <row r="3" spans="1:9">
      <c r="A3" s="9" t="s">
        <v>0</v>
      </c>
      <c r="B3" s="2" t="s">
        <v>1</v>
      </c>
      <c r="C3" s="27" t="s">
        <v>21</v>
      </c>
      <c r="D3" s="25" t="s">
        <v>11</v>
      </c>
      <c r="E3" s="25" t="s">
        <v>16</v>
      </c>
      <c r="F3" s="5" t="s">
        <v>14</v>
      </c>
      <c r="G3" s="2" t="s">
        <v>4</v>
      </c>
      <c r="H3" s="2" t="s">
        <v>13</v>
      </c>
      <c r="I3" s="2" t="s">
        <v>12</v>
      </c>
    </row>
    <row r="4" spans="1:9">
      <c r="A4" s="8">
        <v>41649.904444444444</v>
      </c>
      <c r="B4" s="4" t="s">
        <v>17</v>
      </c>
      <c r="C4" s="26">
        <v>255065</v>
      </c>
      <c r="D4" s="23">
        <f>IF(Time 3:3="Time",0,IF(Event="Nexus",0,(Time 3:3-Time)*24*60))</f>
        <v>0</v>
      </c>
      <c r="E4" s="23">
        <f>Duration + Elapsed 5:5*(Active=Active 5:5)*(Dungeon=Dungeon 5:5)*(Duration&gt;0)</f>
        <v>0</v>
      </c>
      <c r="F4" s="6" t="str">
        <f t="shared" ref="F4:F14" si="0">IF(Event="Pot",VLOOKUP(Data,PotValues,2,FALSE),"")</f>
        <v/>
      </c>
      <c r="G4" s="4" t="str">
        <f t="shared" ref="G4:G14" si="1">IF(Event="Nexus","","Active")</f>
        <v/>
      </c>
      <c r="H4" s="4" t="str">
        <f>IF(Event="Start","Dungeon",IF(OR(Event="Realm",Event="Nexus"),"",Dungeon 5:5))</f>
        <v/>
      </c>
      <c r="I4" s="4" t="str">
        <f t="shared" ref="I4:I14" si="2">IF(AND(Active="Active",Dungeon=""),"Realm","")</f>
        <v/>
      </c>
    </row>
    <row r="5" spans="1:9">
      <c r="A5" s="8">
        <v>41649.904432870368</v>
      </c>
      <c r="B5" s="4" t="s">
        <v>12</v>
      </c>
      <c r="D5" s="23">
        <f>IF(Time 4:4="Time",0,IF(Event="Nexus",0,(Time 4:4-Time)*24*60))</f>
        <v>1.6666670562699437E-2</v>
      </c>
      <c r="E5" s="23">
        <f>Duration + Elapsed 6:6*(Active=Active 6:6)*(Dungeon=Dungeon 6:6)*(Duration&gt;0)</f>
        <v>1.6666670562699437E-2</v>
      </c>
      <c r="F5" s="6" t="str">
        <f t="shared" si="0"/>
        <v/>
      </c>
      <c r="G5" s="4" t="str">
        <f t="shared" si="1"/>
        <v>Active</v>
      </c>
      <c r="H5" s="4" t="str">
        <f>IF(Event="Start","Dungeon",IF(OR(Event="Realm",Event="Nexus"),"",Dungeon 6:6))</f>
        <v/>
      </c>
      <c r="I5" s="4" t="str">
        <f t="shared" si="2"/>
        <v>Realm</v>
      </c>
    </row>
    <row r="6" spans="1:9">
      <c r="A6" s="8">
        <v>41649.904317129629</v>
      </c>
      <c r="B6" s="4" t="s">
        <v>20</v>
      </c>
      <c r="C6" s="26" t="s">
        <v>9</v>
      </c>
      <c r="D6" s="23">
        <f>IF(Time 5:5="Time",0,IF(Event="Nexus",0,(Time 5:5-Time)*24*60))</f>
        <v>0.16666666371747851</v>
      </c>
      <c r="E6" s="23">
        <f>Duration + Elapsed 7:7*(Active=Active 7:7)*(Dungeon=Dungeon 7:7)*(Duration&gt;0)</f>
        <v>17.116666665533558</v>
      </c>
      <c r="F6" s="6">
        <f t="shared" si="0"/>
        <v>0.5</v>
      </c>
      <c r="G6" s="4" t="str">
        <f t="shared" si="1"/>
        <v>Active</v>
      </c>
      <c r="H6" s="4" t="str">
        <f>IF(Event="Start","Dungeon",IF(OR(Event="Realm",Event="Nexus"),"",Dungeon 7:7))</f>
        <v>Dungeon</v>
      </c>
      <c r="I6" s="4" t="str">
        <f t="shared" si="2"/>
        <v/>
      </c>
    </row>
    <row r="7" spans="1:9">
      <c r="A7" s="8">
        <v>41649.904305555552</v>
      </c>
      <c r="B7" s="4" t="s">
        <v>20</v>
      </c>
      <c r="C7" s="26" t="s">
        <v>2</v>
      </c>
      <c r="D7" s="23">
        <f>IF(Time 6:6="Time",0,IF(Event="Nexus",0,(Time 6:6-Time)*24*60))</f>
        <v>1.6666670562699437E-2</v>
      </c>
      <c r="E7" s="23">
        <f>Duration + Elapsed 8:8*(Active=Active 8:8)*(Dungeon=Dungeon 8:8)*(Duration&gt;0)</f>
        <v>16.950000001816079</v>
      </c>
      <c r="F7" s="6">
        <f t="shared" si="0"/>
        <v>1</v>
      </c>
      <c r="G7" s="4" t="str">
        <f t="shared" si="1"/>
        <v>Active</v>
      </c>
      <c r="H7" s="4" t="str">
        <f>IF(Event="Start","Dungeon",IF(OR(Event="Realm",Event="Nexus"),"",Dungeon 8:8))</f>
        <v>Dungeon</v>
      </c>
      <c r="I7" s="4" t="str">
        <f t="shared" si="2"/>
        <v/>
      </c>
    </row>
    <row r="8" spans="1:9">
      <c r="A8" s="8">
        <v>41649.892546296294</v>
      </c>
      <c r="B8" s="4" t="s">
        <v>19</v>
      </c>
      <c r="C8" s="26" t="s">
        <v>36</v>
      </c>
      <c r="D8" s="23">
        <f>IF(Time 7:7="Time",0,IF(Event="Nexus",0,(Time 7:7-Time)*24*60))</f>
        <v>16.93333333125338</v>
      </c>
      <c r="E8" s="23">
        <f>Duration + Elapsed 9:9*(Active=Active 9:9)*(Dungeon=Dungeon 9:9)*(Duration&gt;0)</f>
        <v>16.93333333125338</v>
      </c>
      <c r="F8" s="6" t="str">
        <f t="shared" si="0"/>
        <v/>
      </c>
      <c r="G8" s="4" t="str">
        <f t="shared" si="1"/>
        <v>Active</v>
      </c>
      <c r="H8" s="4" t="str">
        <f>IF(Event="Start","Dungeon",IF(OR(Event="Realm",Event="Nexus"),"",Dungeon 9:9))</f>
        <v>Dungeon</v>
      </c>
      <c r="I8" s="4" t="str">
        <f t="shared" si="2"/>
        <v/>
      </c>
    </row>
    <row r="9" spans="1:9">
      <c r="A9" s="8">
        <v>41649.891793981478</v>
      </c>
      <c r="B9" s="4" t="s">
        <v>12</v>
      </c>
      <c r="D9" s="23">
        <f>IF(Time 8:8="Time",0,IF(Event="Nexus",0,(Time 8:8-Time)*24*60))</f>
        <v>1.0833333351183683</v>
      </c>
      <c r="E9" s="23">
        <f>Duration + Elapsed 10:10*(Active=Active 10:10)*(Dungeon=Dungeon 10:10)*(Duration&gt;0)</f>
        <v>1.0833333351183683</v>
      </c>
      <c r="F9" s="6" t="str">
        <f t="shared" si="0"/>
        <v/>
      </c>
      <c r="G9" s="4" t="str">
        <f t="shared" si="1"/>
        <v>Active</v>
      </c>
      <c r="H9" s="4" t="str">
        <f>IF(Event="Start","Dungeon",IF(OR(Event="Realm",Event="Nexus"),"",Dungeon 10:10))</f>
        <v/>
      </c>
      <c r="I9" s="4" t="str">
        <f t="shared" si="2"/>
        <v>Realm</v>
      </c>
    </row>
    <row r="10" spans="1:9">
      <c r="A10" s="8">
        <v>41649.891469907408</v>
      </c>
      <c r="B10" s="4" t="s">
        <v>20</v>
      </c>
      <c r="C10" s="26" t="s">
        <v>9</v>
      </c>
      <c r="D10" s="23">
        <f>IF(Time 9:9="Time",0,IF(Event="Nexus",0,(Time 9:9-Time)*24*60))</f>
        <v>0.46666666050441563</v>
      </c>
      <c r="E10" s="23">
        <f>Duration + Elapsed 11:11*(Active=Active 11:11)*(Dungeon=Dungeon 11:11)*(Duration&gt;0)</f>
        <v>14.799999991664663</v>
      </c>
      <c r="F10" s="6">
        <f t="shared" si="0"/>
        <v>0.5</v>
      </c>
      <c r="G10" s="4" t="str">
        <f t="shared" si="1"/>
        <v>Active</v>
      </c>
      <c r="H10" s="4" t="str">
        <f>IF(Event="Start","Dungeon",IF(OR(Event="Realm",Event="Nexus"),"",Dungeon 11:11))</f>
        <v>Dungeon</v>
      </c>
      <c r="I10" s="4" t="str">
        <f t="shared" si="2"/>
        <v/>
      </c>
    </row>
    <row r="11" spans="1:9">
      <c r="A11" s="8">
        <v>41649.891458333332</v>
      </c>
      <c r="B11" s="4" t="s">
        <v>20</v>
      </c>
      <c r="C11" s="26" t="s">
        <v>2</v>
      </c>
      <c r="D11" s="23">
        <f>IF(Time 10:10="Time",0,IF(Event="Nexus",0,(Time 10:10-Time)*24*60))</f>
        <v>1.6666670562699437E-2</v>
      </c>
      <c r="E11" s="23">
        <f>Duration + Elapsed 12:12*(Active=Active 12:12)*(Dungeon=Dungeon 12:12)*(Duration&gt;0)</f>
        <v>14.333333331160247</v>
      </c>
      <c r="F11" s="6">
        <f t="shared" si="0"/>
        <v>1</v>
      </c>
      <c r="G11" s="4" t="str">
        <f t="shared" si="1"/>
        <v>Active</v>
      </c>
      <c r="H11" s="4" t="str">
        <f>IF(Event="Start","Dungeon",IF(OR(Event="Realm",Event="Nexus"),"",Dungeon 12:12))</f>
        <v>Dungeon</v>
      </c>
      <c r="I11" s="4" t="str">
        <f t="shared" si="2"/>
        <v/>
      </c>
    </row>
    <row r="12" spans="1:9">
      <c r="A12" s="8">
        <v>41649.881516203706</v>
      </c>
      <c r="B12" s="4" t="s">
        <v>19</v>
      </c>
      <c r="C12" s="26" t="s">
        <v>36</v>
      </c>
      <c r="D12" s="23">
        <f>IF(Time 11:11="Time",0,IF(Event="Nexus",0,(Time 11:11-Time)*24*60))</f>
        <v>14.316666660597548</v>
      </c>
      <c r="E12" s="23">
        <f>Duration + Elapsed 13:13*(Active=Active 13:13)*(Dungeon=Dungeon 13:13)*(Duration&gt;0)</f>
        <v>14.316666660597548</v>
      </c>
      <c r="F12" s="6" t="str">
        <f t="shared" si="0"/>
        <v/>
      </c>
      <c r="G12" s="4" t="str">
        <f t="shared" si="1"/>
        <v>Active</v>
      </c>
      <c r="H12" s="4" t="str">
        <f>IF(Event="Start","Dungeon",IF(OR(Event="Realm",Event="Nexus"),"",Dungeon 13:13))</f>
        <v>Dungeon</v>
      </c>
      <c r="I12" s="4" t="str">
        <f t="shared" si="2"/>
        <v/>
      </c>
    </row>
    <row r="13" spans="1:9">
      <c r="A13" s="8">
        <v>41649.880486111113</v>
      </c>
      <c r="B13" s="4" t="s">
        <v>12</v>
      </c>
      <c r="D13" s="23">
        <f>IF(Time 12:12="Time",0,IF(Event="Nexus",0,(Time 12:12-Time)*24*60))</f>
        <v>1.4833333343267441</v>
      </c>
      <c r="E13" s="23">
        <f>Duration + Elapsed 14:14*(Active=Active 14:14)*(Dungeon=Dungeon 14:14)*(Duration&gt;0)</f>
        <v>1.4833333343267441</v>
      </c>
      <c r="F13" s="6" t="str">
        <f t="shared" si="0"/>
        <v/>
      </c>
      <c r="G13" s="4" t="str">
        <f t="shared" si="1"/>
        <v>Active</v>
      </c>
      <c r="H13" s="4" t="str">
        <f>IF(Event="Start","Dungeon",IF(OR(Event="Realm",Event="Nexus"),"",Dungeon 14:14))</f>
        <v/>
      </c>
      <c r="I13" s="4" t="str">
        <f t="shared" si="2"/>
        <v>Realm</v>
      </c>
    </row>
    <row r="14" spans="1:9">
      <c r="A14" s="8">
        <v>41649.878703703704</v>
      </c>
      <c r="B14" s="4" t="s">
        <v>17</v>
      </c>
      <c r="C14" s="26">
        <v>232042</v>
      </c>
      <c r="D14" s="23">
        <f>IF(Time 13:13="Time",0,IF(Event="Nexus",0,(Time 13:13-Time)*24*60))</f>
        <v>0</v>
      </c>
      <c r="E14" s="23">
        <f>Duration + Elapsed 15:15*(Active=Active 15:15)*(Dungeon=Dungeon 15:15)*(Duration&gt;0)</f>
        <v>0</v>
      </c>
      <c r="F14" s="6" t="str">
        <f t="shared" si="0"/>
        <v/>
      </c>
      <c r="G14" s="4" t="str">
        <f t="shared" si="1"/>
        <v/>
      </c>
      <c r="H14" s="4" t="str">
        <f>IF(Event="Start","Dungeon",IF(OR(Event="Realm",Event="Nexus"),"",Dungeon 15:15))</f>
        <v/>
      </c>
      <c r="I14" s="4" t="str">
        <f t="shared" si="2"/>
        <v/>
      </c>
    </row>
    <row r="18" spans="10:14">
      <c r="K18" s="30" t="s">
        <v>24</v>
      </c>
      <c r="L18" s="30"/>
      <c r="M18" s="30"/>
      <c r="N18" s="30"/>
    </row>
    <row r="19" spans="10:14">
      <c r="K19" s="2" t="s">
        <v>24</v>
      </c>
      <c r="L19" s="2" t="s">
        <v>29</v>
      </c>
      <c r="M19" s="2" t="s">
        <v>22</v>
      </c>
      <c r="N19" s="2" t="s">
        <v>30</v>
      </c>
    </row>
    <row r="20" spans="10:14">
      <c r="K20" s="4" t="s">
        <v>5</v>
      </c>
      <c r="L20" s="1">
        <v>4</v>
      </c>
      <c r="M20" s="11">
        <f t="shared" ref="M20:M27" si="3">COUNTIF(Data,K20)</f>
        <v>0</v>
      </c>
      <c r="N20" s="13">
        <f>M20*L20</f>
        <v>0</v>
      </c>
    </row>
    <row r="21" spans="10:14">
      <c r="K21" s="4" t="s">
        <v>6</v>
      </c>
      <c r="L21" s="1">
        <v>6</v>
      </c>
      <c r="M21" s="11">
        <f t="shared" si="3"/>
        <v>0</v>
      </c>
      <c r="N21" s="13">
        <f t="shared" ref="N21:N27" si="4">M21*L21</f>
        <v>0</v>
      </c>
    </row>
    <row r="22" spans="10:14">
      <c r="K22" s="4" t="s">
        <v>2</v>
      </c>
      <c r="L22" s="1">
        <v>1</v>
      </c>
      <c r="M22" s="11">
        <f t="shared" si="3"/>
        <v>2</v>
      </c>
      <c r="N22" s="13">
        <f t="shared" si="4"/>
        <v>2</v>
      </c>
    </row>
    <row r="23" spans="10:14">
      <c r="K23" s="4" t="s">
        <v>7</v>
      </c>
      <c r="L23" s="1">
        <v>1</v>
      </c>
      <c r="M23" s="11">
        <f t="shared" si="3"/>
        <v>0</v>
      </c>
      <c r="N23" s="13">
        <f t="shared" si="4"/>
        <v>0</v>
      </c>
    </row>
    <row r="24" spans="10:14">
      <c r="K24" s="4" t="s">
        <v>8</v>
      </c>
      <c r="L24" s="1">
        <v>0.5</v>
      </c>
      <c r="M24" s="11">
        <f t="shared" si="3"/>
        <v>0</v>
      </c>
      <c r="N24" s="13">
        <f t="shared" si="4"/>
        <v>0</v>
      </c>
    </row>
    <row r="25" spans="10:14">
      <c r="K25" s="4" t="s">
        <v>9</v>
      </c>
      <c r="L25" s="1">
        <v>0.5</v>
      </c>
      <c r="M25" s="11">
        <f t="shared" si="3"/>
        <v>2</v>
      </c>
      <c r="N25" s="13">
        <f t="shared" si="4"/>
        <v>1</v>
      </c>
    </row>
    <row r="26" spans="10:14">
      <c r="K26" s="4" t="s">
        <v>3</v>
      </c>
      <c r="L26" s="1">
        <v>0.33333333333333331</v>
      </c>
      <c r="M26" s="11">
        <f t="shared" si="3"/>
        <v>0</v>
      </c>
      <c r="N26" s="13">
        <f t="shared" si="4"/>
        <v>0</v>
      </c>
    </row>
    <row r="27" spans="10:14">
      <c r="J27" s="3"/>
      <c r="K27" s="4" t="s">
        <v>10</v>
      </c>
      <c r="L27" s="1">
        <v>0.33333333333333331</v>
      </c>
      <c r="M27" s="11">
        <f t="shared" si="3"/>
        <v>0</v>
      </c>
      <c r="N27" s="13">
        <f t="shared" si="4"/>
        <v>0</v>
      </c>
    </row>
    <row r="28" spans="10:14">
      <c r="J28" s="3"/>
      <c r="L28" s="4" t="s">
        <v>32</v>
      </c>
      <c r="M28" s="12">
        <f>SUM(M20:M27)</f>
        <v>4</v>
      </c>
      <c r="N28" s="14">
        <f>SUM(N20:N27)</f>
        <v>3</v>
      </c>
    </row>
    <row r="29" spans="10:14">
      <c r="J29" s="3"/>
      <c r="L29" s="17"/>
      <c r="M29" s="28"/>
      <c r="N29" s="29"/>
    </row>
    <row r="30" spans="10:14">
      <c r="J30" s="3"/>
      <c r="L30" s="17" t="s">
        <v>31</v>
      </c>
      <c r="M30" s="16">
        <f>M28/($M$34/60)</f>
        <v>6.9565217396938053</v>
      </c>
      <c r="N30" s="20">
        <f>N28/($M$34/60)</f>
        <v>5.217391304770354</v>
      </c>
    </row>
    <row r="31" spans="10:14">
      <c r="L31" s="17" t="s">
        <v>27</v>
      </c>
      <c r="M31" s="18">
        <f>M28/$N$39</f>
        <v>2</v>
      </c>
      <c r="N31" s="19">
        <f>N28/$N$39</f>
        <v>1.5</v>
      </c>
    </row>
    <row r="32" spans="10:14">
      <c r="J32" s="3"/>
    </row>
    <row r="33" spans="10:17">
      <c r="J33" s="3"/>
      <c r="K33" s="30" t="s">
        <v>0</v>
      </c>
      <c r="L33" s="30"/>
      <c r="M33" s="30"/>
      <c r="N33" s="30"/>
    </row>
    <row r="34" spans="10:17">
      <c r="L34" s="17" t="s">
        <v>4</v>
      </c>
      <c r="M34" s="15">
        <f>SUMIF(Active,"Active",Duration)</f>
        <v>34.499999997206032</v>
      </c>
    </row>
    <row r="35" spans="10:17">
      <c r="L35" s="17" t="s">
        <v>13</v>
      </c>
      <c r="M35" s="15">
        <f>SUMIF(Dungeon,"Dungeon",Duration)</f>
        <v>31.91666665719822</v>
      </c>
      <c r="N35" s="24">
        <f>M35/M34</f>
        <v>0.92512077274733273</v>
      </c>
    </row>
    <row r="36" spans="10:17">
      <c r="L36" s="17" t="s">
        <v>12</v>
      </c>
      <c r="M36" s="15">
        <f>SUMIF(Realm,"Realm",Duration)</f>
        <v>2.5833333400078118</v>
      </c>
      <c r="N36" s="24">
        <f>M36/M34</f>
        <v>7.4879227252667296E-2</v>
      </c>
    </row>
    <row r="37" spans="10:17">
      <c r="L37" s="17"/>
      <c r="M37" s="15"/>
    </row>
    <row r="38" spans="10:17">
      <c r="K38" s="30" t="s">
        <v>26</v>
      </c>
      <c r="L38" s="30"/>
      <c r="M38" s="30"/>
      <c r="N38" s="30"/>
      <c r="O38" s="4" t="s">
        <v>33</v>
      </c>
      <c r="P38" s="4" t="s">
        <v>18</v>
      </c>
      <c r="Q38" s="4" t="s">
        <v>35</v>
      </c>
    </row>
    <row r="39" spans="10:17">
      <c r="M39" s="17" t="s">
        <v>15</v>
      </c>
      <c r="N39" s="21">
        <f>COUNTIF(B:B,"Start*")</f>
        <v>2</v>
      </c>
      <c r="O39" s="4">
        <f>COUNTIF(Data,O38)</f>
        <v>0</v>
      </c>
      <c r="P39" s="4">
        <f>COUNTIF(Data,P38)</f>
        <v>0</v>
      </c>
      <c r="Q39" s="4">
        <f>COUNTIF(Data,Q38)</f>
        <v>0</v>
      </c>
    </row>
    <row r="40" spans="10:17">
      <c r="M40" s="17" t="s">
        <v>25</v>
      </c>
      <c r="N40" s="22">
        <f>N39/(M34/60)</f>
        <v>3.4782608698469026</v>
      </c>
    </row>
    <row r="41" spans="10:17">
      <c r="M41" s="17" t="s">
        <v>34</v>
      </c>
      <c r="N41" s="15">
        <f>M35/N39</f>
        <v>15.95833332859911</v>
      </c>
    </row>
    <row r="42" spans="10:17">
      <c r="M42" s="17" t="s">
        <v>28</v>
      </c>
      <c r="N42" s="15">
        <f>M36/N39</f>
        <v>1.2916666700039059</v>
      </c>
    </row>
  </sheetData>
  <mergeCells count="3">
    <mergeCell ref="K18:N18"/>
    <mergeCell ref="K33:N33"/>
    <mergeCell ref="K38:N38"/>
  </mergeCells>
  <pageMargins left="0.7" right="0.7" top="0.75" bottom="0.75" header="0.3" footer="0.3"/>
  <pageSetup orientation="portrait" horizontalDpi="0" verticalDpi="0" r:id="rId1"/>
  <legacyDrawing r:id="rId2"/>
  <controls>
    <control shapeId="7191" r:id="rId3" name="CB_Troom"/>
    <control shapeId="7190" r:id="rId4" name="CB_White"/>
    <control shapeId="7189" r:id="rId5" name="CB_DEX"/>
    <control shapeId="7188" r:id="rId6" name="CB_SPD"/>
    <control shapeId="7187" r:id="rId7" name="CB_VIT"/>
    <control shapeId="7186" r:id="rId8" name="CB_Reset"/>
    <control shapeId="7185" r:id="rId9" name="CB_Back"/>
    <control shapeId="7184" r:id="rId10" name="CB_WIS"/>
    <control shapeId="7183" r:id="rId11" name="CB_ATT"/>
    <control shapeId="7182" r:id="rId12" name="CB_Mana"/>
    <control shapeId="7181" r:id="rId13" name="CB_DEF"/>
    <control shapeId="7180" r:id="rId14" name="CB_Life"/>
    <control shapeId="7179" r:id="rId15" name="CB_Realm"/>
    <control shapeId="7178" r:id="rId16" name="CB_Nexus"/>
    <control shapeId="7177" r:id="rId17" name="CB_Cemetary"/>
    <control shapeId="7176" r:id="rId18" name="CB_Manor"/>
    <control shapeId="7175" r:id="rId19" name="CB_Abyss"/>
    <control shapeId="7174" r:id="rId20" name="CB_Trench"/>
    <control shapeId="7173" r:id="rId21" name="CB_Pentaract"/>
    <control shapeId="7172" r:id="rId22" name="CB_Pit"/>
    <control shapeId="7171" r:id="rId23" name="CB_UDL"/>
    <control shapeId="7170" r:id="rId24" name="CB_Sprite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RealmLog</vt:lpstr>
      <vt:lpstr>RealmLog!Active</vt:lpstr>
      <vt:lpstr>RealmLog!Data</vt:lpstr>
      <vt:lpstr>RealmLog!Dungeon</vt:lpstr>
      <vt:lpstr>RealmLog!Duration</vt:lpstr>
      <vt:lpstr>RealmLog!Elapsed</vt:lpstr>
      <vt:lpstr>RealmLog!Event</vt:lpstr>
      <vt:lpstr>RealmLog!PotValue</vt:lpstr>
      <vt:lpstr>RealmLog!PotValues</vt:lpstr>
      <vt:lpstr>RealmLog!Realm</vt:lpstr>
      <vt:lpstr>RealmLog!Time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RealmLog</dc:title>
  <dc:creator>CammieWiz</dc:creator>
  <cp:lastModifiedBy>Jack Cammie Lola</cp:lastModifiedBy>
  <dcterms:created xsi:type="dcterms:W3CDTF">2013-12-24T01:17:23Z</dcterms:created>
  <dcterms:modified xsi:type="dcterms:W3CDTF">2014-02-28T05:40:31Z</dcterms:modified>
</cp:coreProperties>
</file>